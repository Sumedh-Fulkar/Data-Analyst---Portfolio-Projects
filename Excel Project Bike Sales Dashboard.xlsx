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9cd6be005f8ac63f/Desktop/Data Analytics/Portfolio Projects/"/>
    </mc:Choice>
  </mc:AlternateContent>
  <xr:revisionPtr revIDLastSave="408" documentId="8_{ABC04089-7769-4E43-9915-B025B1F01043}" xr6:coauthVersionLast="47" xr6:coauthVersionMax="47" xr10:uidLastSave="{2E101081-2664-416C-A3DB-591B78F7B1A2}"/>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<sst xmlns="http://schemas.openxmlformats.org/spreadsheetml/2006/main" count="16267" uniqueCount="51">
  <si>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</si>
  <si>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</si>
  <si>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</si>
  <si>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</si>
  <si>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</si>
  <si>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</si>
  <si>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</si>
  <si>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</si>
  <si>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</si>
  <si>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</si>
  <si>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</si>
  <si>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</si>
  <si>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</si>
  <si>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</si>
  <si>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</si>
  <si>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</si>
  <si>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</si>
  <si>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</si>
  <si>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</si>
  <si>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</si>
  <si>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</si>
  <si>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</si>
  <si>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</si>
  <si>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</si>
  <si>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</si>
  <si>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</si>
  <si>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</si>
  <si>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</si>
  <si>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</si>
  <si>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</si>
  <si>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</si>
  <si>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</si>
  <si>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</si>
  <si>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</si>
  <si>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</si>
  <si>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</si>
  <si>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</si>
  <si>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</si>
  <si>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</si>
  <si>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</si>
  <si>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</si>
  <si>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</si>
  <si>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</si>
  <si>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</si>
  <si>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</si>
  <si>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</si>
  <si>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</si>
  <si>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</si>
  <si>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</si>
  <si>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Old</t>
  </si>
  <si>
    <t>Bike Sales Dashboad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</si>
</sst>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9" formatCode="&quot;₹&quot;\ #,##0"/>
    <numFmt numFmtId="170" formatCode="[$$-540A]#,##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169"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[$$-540A]#,##0</c:formatCode>
                <c:ptCount val="2"/>
                <c:pt idx="0">
                  <c:v>53440</c:v>
                </c:pt>
                <c:pt idx="1">
                  <c:v>56208.178438661707</c:v>
                </c:pt>
              </c:numCache>
            </c:numRef>
          </c:val>
          <c:extLst>
            <c:ext xmlns:c16="http://schemas.microsoft.com/office/drawing/2014/chart" uri="{C3380CC4-5D6E-409C-BE32-E72D297353CC}">
              <c16:uniqueId val="{00000000-13DA-45BE-BC53-CDD11E341D1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[$$-540A]#,##0</c:formatCode>
                <c:ptCount val="2"/>
                <c:pt idx="0">
                  <c:v>55774.058577405856</c:v>
                </c:pt>
                <c:pt idx="1">
                  <c:v>60123.966942148763</c:v>
                </c:pt>
              </c:numCache>
            </c:numRef>
          </c:val>
          <c:extLst>
            <c:ext xmlns:c16="http://schemas.microsoft.com/office/drawing/2014/chart" uri="{C3380CC4-5D6E-409C-BE32-E72D297353CC}">
              <c16:uniqueId val="{00000001-13DA-45BE-BC53-CDD11E341D1D}"/>
            </c:ext>
          </c:extLst>
        </c:ser>
        <c:dLbls>
          <c:showLegendKey val="0"/>
          <c:showVal val="0"/>
          <c:showCatName val="0"/>
          <c:showSerName val="0"/>
          <c:showPercent val="0"/>
          <c:showBubbleSize val="0"/>
        </c:dLbls>
        <c:gapWidth val="219"/>
        <c:overlap val="-27"/>
        <c:axId val="1859436352"/>
        <c:axId val="1859439712"/>
      </c:barChart>
      <c:catAx>
        <c:axId val="185943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39712"/>
        <c:crosses val="autoZero"/>
        <c:auto val="1"/>
        <c:lblAlgn val="ctr"/>
        <c:lblOffset val="100"/>
        <c:noMultiLvlLbl val="0"/>
      </c:catAx>
      <c:valAx>
        <c:axId val="185943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3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Table'!$G$3:$G$4</c:f>
              <c:strCache>
                <c:ptCount val="1"/>
                <c:pt idx="0">
                  <c:v>No</c:v>
                </c:pt>
              </c:strCache>
            </c:strRef>
          </c:tx>
          <c:spPr>
            <a:ln w="28575" cap="rnd">
              <a:solidFill>
                <a:schemeClr val="accent1"/>
              </a:solidFill>
              <a:round/>
            </a:ln>
            <a:effectLst/>
          </c:spPr>
          <c:marker>
            <c:symbol val="none"/>
          </c:marker>
          <c:cat>
            <c:strRef>
              <c:f>'Pivot Table'!$F$5:$F$10</c:f>
              <c:strCache>
                <c:ptCount val="5"/>
                <c:pt idx="0">
                  <c:v>0-1 Miles</c:v>
                </c:pt>
                <c:pt idx="1">
                  <c:v>1-2 Miles</c:v>
                </c:pt>
                <c:pt idx="2">
                  <c:v>2-5 Miles</c:v>
                </c:pt>
                <c:pt idx="3">
                  <c:v>5-10 Miles</c:v>
                </c:pt>
                <c:pt idx="4">
                  <c:v>More than 10 Miles</c:v>
                </c:pt>
              </c:strCache>
            </c:strRef>
          </c:cat>
          <c:val>
            <c:numRef>
              <c:f>'Pivot Table'!$G$5:$G$10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85-463A-AE86-2A3EEB670085}"/>
            </c:ext>
          </c:extLst>
        </c:ser>
        <c:ser>
          <c:idx val="1"/>
          <c:order val="1"/>
          <c:tx>
            <c:strRef>
              <c:f>'Pivot Table'!$H$3:$H$4</c:f>
              <c:strCache>
                <c:ptCount val="1"/>
                <c:pt idx="0">
                  <c:v>Yes</c:v>
                </c:pt>
              </c:strCache>
            </c:strRef>
          </c:tx>
          <c:spPr>
            <a:ln w="28575" cap="rnd">
              <a:solidFill>
                <a:schemeClr val="accent2"/>
              </a:solidFill>
              <a:round/>
            </a:ln>
            <a:effectLst/>
          </c:spPr>
          <c:marker>
            <c:symbol val="none"/>
          </c:marker>
          <c:cat>
            <c:strRef>
              <c:f>'Pivot Table'!$F$5:$F$10</c:f>
              <c:strCache>
                <c:ptCount val="5"/>
                <c:pt idx="0">
                  <c:v>0-1 Miles</c:v>
                </c:pt>
                <c:pt idx="1">
                  <c:v>1-2 Miles</c:v>
                </c:pt>
                <c:pt idx="2">
                  <c:v>2-5 Miles</c:v>
                </c:pt>
                <c:pt idx="3">
                  <c:v>5-10 Miles</c:v>
                </c:pt>
                <c:pt idx="4">
                  <c:v>More than 10 Miles</c:v>
                </c:pt>
              </c:strCache>
            </c:strRef>
          </c:cat>
          <c:val>
            <c:numRef>
              <c:f>'Pivot Table'!$H$5:$H$10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885-463A-AE86-2A3EEB670085}"/>
            </c:ext>
          </c:extLst>
        </c:ser>
        <c:dLbls>
          <c:showLegendKey val="0"/>
          <c:showVal val="0"/>
          <c:showCatName val="0"/>
          <c:showSerName val="0"/>
          <c:showPercent val="0"/>
          <c:showBubbleSize val="0"/>
        </c:dLbls>
        <c:smooth val="0"/>
        <c:axId val="1851853728"/>
        <c:axId val="1851851808"/>
      </c:lineChart>
      <c:catAx>
        <c:axId val="1851853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51808"/>
        <c:crosses val="autoZero"/>
        <c:auto val="1"/>
        <c:lblAlgn val="ctr"/>
        <c:lblOffset val="100"/>
        <c:noMultiLvlLbl val="0"/>
      </c:catAx>
      <c:valAx>
        <c:axId val="185185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Table'!$L$3:$L$4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Table'!$K$5:$K$8</c:f>
              <c:strCache>
                <c:ptCount val="3"/>
                <c:pt idx="0">
                  <c:v>Adolescent</c:v>
                </c:pt>
                <c:pt idx="1">
                  <c:v>Middle Aged</c:v>
                </c:pt>
                <c:pt idx="2">
                  <c:v>Old</c:v>
                </c:pt>
              </c:strCache>
            </c:strRef>
          </c:cat>
          <c:val>
            <c:numRef>
              <c:f>'Pivot Table'!$L$5:$L$8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0E-469C-8695-5BEADFAE87FA}"/>
            </c:ext>
          </c:extLst>
        </c:ser>
        <c:ser>
          <c:idx val="1"/>
          <c:order val="1"/>
          <c:tx>
            <c:strRef>
              <c:f>'Pivot Table'!$M$3:$M$4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Table'!$K$5:$K$8</c:f>
              <c:strCache>
                <c:ptCount val="3"/>
                <c:pt idx="0">
                  <c:v>Adolescent</c:v>
                </c:pt>
                <c:pt idx="1">
                  <c:v>Middle Aged</c:v>
                </c:pt>
                <c:pt idx="2">
                  <c:v>Old</c:v>
                </c:pt>
              </c:strCache>
            </c:strRef>
          </c:cat>
          <c:val>
            <c:numRef>
              <c:f>'Pivot Table'!$M$5:$M$8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A0E-469C-8695-5BEADFAE87FA}"/>
            </c:ext>
          </c:extLst>
        </c:ser>
        <c:dLbls>
          <c:showLegendKey val="0"/>
          <c:showVal val="0"/>
          <c:showCatName val="0"/>
          <c:showSerName val="0"/>
          <c:showPercent val="0"/>
          <c:showBubbleSize val="0"/>
        </c:dLbls>
        <c:marker val="1"/>
        <c:smooth val="0"/>
        <c:axId val="1851170544"/>
        <c:axId val="1851170064"/>
      </c:lineChart>
      <c:catAx>
        <c:axId val="185117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70064"/>
        <c:crosses val="autoZero"/>
        <c:auto val="1"/>
        <c:lblAlgn val="ctr"/>
        <c:lblOffset val="100"/>
        <c:noMultiLvlLbl val="0"/>
      </c:catAx>
      <c:valAx>
        <c:axId val="185117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7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[$$-540A]#,##0</c:formatCode>
                <c:ptCount val="2"/>
                <c:pt idx="0">
                  <c:v>53440</c:v>
                </c:pt>
                <c:pt idx="1">
                  <c:v>56208.178438661707</c:v>
                </c:pt>
              </c:numCache>
            </c:numRef>
          </c:val>
          <c:extLst>
            <c:ext xmlns:c16="http://schemas.microsoft.com/office/drawing/2014/chart" uri="{C3380CC4-5D6E-409C-BE32-E72D297353CC}">
              <c16:uniqueId val="{00000000-C814-4742-B408-49A2E19BAA5D}"/>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[$$-540A]#,##0</c:formatCode>
                <c:ptCount val="2"/>
                <c:pt idx="0">
                  <c:v>55774.058577405856</c:v>
                </c:pt>
                <c:pt idx="1">
                  <c:v>60123.966942148763</c:v>
                </c:pt>
              </c:numCache>
            </c:numRef>
          </c:val>
          <c:extLst>
            <c:ext xmlns:c16="http://schemas.microsoft.com/office/drawing/2014/chart" uri="{C3380CC4-5D6E-409C-BE32-E72D297353CC}">
              <c16:uniqueId val="{00000001-C814-4742-B408-49A2E19BAA5D}"/>
            </c:ext>
          </c:extLst>
        </c:ser>
        <c:dLbls>
          <c:showLegendKey val="0"/>
          <c:showVal val="0"/>
          <c:showCatName val="0"/>
          <c:showSerName val="0"/>
          <c:showPercent val="0"/>
          <c:showBubbleSize val="0"/>
        </c:dLbls>
        <c:gapWidth val="100"/>
        <c:overlap val="-24"/>
        <c:axId val="1859436352"/>
        <c:axId val="1859439712"/>
      </c:barChart>
      <c:catAx>
        <c:axId val="18594363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9439712"/>
        <c:crosses val="autoZero"/>
        <c:auto val="1"/>
        <c:lblAlgn val="ctr"/>
        <c:lblOffset val="100"/>
        <c:noMultiLvlLbl val="0"/>
      </c:catAx>
      <c:valAx>
        <c:axId val="18594397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943635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Table'!$G$3:$G$4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Table'!$F$5:$F$10</c:f>
              <c:strCache>
                <c:ptCount val="5"/>
                <c:pt idx="0">
                  <c:v>0-1 Miles</c:v>
                </c:pt>
                <c:pt idx="1">
                  <c:v>1-2 Miles</c:v>
                </c:pt>
                <c:pt idx="2">
                  <c:v>2-5 Miles</c:v>
                </c:pt>
                <c:pt idx="3">
                  <c:v>5-10 Miles</c:v>
                </c:pt>
                <c:pt idx="4">
                  <c:v>More than 10 Miles</c:v>
                </c:pt>
              </c:strCache>
            </c:strRef>
          </c:cat>
          <c:val>
            <c:numRef>
              <c:f>'Pivot Table'!$G$5:$G$10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BC1-43D6-9D08-87425253826A}"/>
            </c:ext>
          </c:extLst>
        </c:ser>
        <c:ser>
          <c:idx val="1"/>
          <c:order val="1"/>
          <c:tx>
            <c:strRef>
              <c:f>'Pivot Table'!$H$3:$H$4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Table'!$F$5:$F$10</c:f>
              <c:strCache>
                <c:ptCount val="5"/>
                <c:pt idx="0">
                  <c:v>0-1 Miles</c:v>
                </c:pt>
                <c:pt idx="1">
                  <c:v>1-2 Miles</c:v>
                </c:pt>
                <c:pt idx="2">
                  <c:v>2-5 Miles</c:v>
                </c:pt>
                <c:pt idx="3">
                  <c:v>5-10 Miles</c:v>
                </c:pt>
                <c:pt idx="4">
                  <c:v>More than 10 Miles</c:v>
                </c:pt>
              </c:strCache>
            </c:strRef>
          </c:cat>
          <c:val>
            <c:numRef>
              <c:f>'Pivot Table'!$H$5:$H$10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BC1-43D6-9D08-87425253826A}"/>
            </c:ext>
          </c:extLst>
        </c:ser>
        <c:dLbls>
          <c:showLegendKey val="0"/>
          <c:showVal val="0"/>
          <c:showCatName val="0"/>
          <c:showSerName val="0"/>
          <c:showPercent val="0"/>
          <c:showBubbleSize val="0"/>
        </c:dLbls>
        <c:marker val="1"/>
        <c:smooth val="0"/>
        <c:axId val="1851853728"/>
        <c:axId val="1851851808"/>
      </c:lineChart>
      <c:catAx>
        <c:axId val="18518537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1851808"/>
        <c:crosses val="autoZero"/>
        <c:auto val="1"/>
        <c:lblAlgn val="ctr"/>
        <c:lblOffset val="100"/>
        <c:noMultiLvlLbl val="0"/>
      </c:catAx>
      <c:valAx>
        <c:axId val="18518518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185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Table'!$L$3:$L$4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Table'!$K$5:$K$8</c:f>
              <c:strCache>
                <c:ptCount val="3"/>
                <c:pt idx="0">
                  <c:v>Adolescent</c:v>
                </c:pt>
                <c:pt idx="1">
                  <c:v>Middle Aged</c:v>
                </c:pt>
                <c:pt idx="2">
                  <c:v>Old</c:v>
                </c:pt>
              </c:strCache>
            </c:strRef>
          </c:cat>
          <c:val>
            <c:numRef>
              <c:f>'Pivot Table'!$L$5:$L$8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839-4CC3-B2C2-5C7836C28F3A}"/>
            </c:ext>
          </c:extLst>
        </c:ser>
        <c:ser>
          <c:idx val="1"/>
          <c:order val="1"/>
          <c:tx>
            <c:strRef>
              <c:f>'Pivot Table'!$M$3:$M$4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Table'!$K$5:$K$8</c:f>
              <c:strCache>
                <c:ptCount val="3"/>
                <c:pt idx="0">
                  <c:v>Adolescent</c:v>
                </c:pt>
                <c:pt idx="1">
                  <c:v>Middle Aged</c:v>
                </c:pt>
                <c:pt idx="2">
                  <c:v>Old</c:v>
                </c:pt>
              </c:strCache>
            </c:strRef>
          </c:cat>
          <c:val>
            <c:numRef>
              <c:f>'Pivot Table'!$M$5:$M$8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839-4CC3-B2C2-5C7836C28F3A}"/>
            </c:ext>
          </c:extLst>
        </c:ser>
        <c:dLbls>
          <c:showLegendKey val="0"/>
          <c:showVal val="0"/>
          <c:showCatName val="0"/>
          <c:showSerName val="0"/>
          <c:showPercent val="0"/>
          <c:showBubbleSize val="0"/>
        </c:dLbls>
        <c:marker val="1"/>
        <c:smooth val="0"/>
        <c:axId val="1851170544"/>
        <c:axId val="1851170064"/>
      </c:lineChart>
      <c:catAx>
        <c:axId val="185117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70064"/>
        <c:crosses val="autoZero"/>
        <c:auto val="1"/>
        <c:lblAlgn val="ctr"/>
        <c:lblOffset val="100"/>
        <c:noMultiLvlLbl val="0"/>
      </c:catAx>
      <c:valAx>
        <c:axId val="185117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17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3810</xdr:rowOff>
    </xdr:from>
    <xdr:to>
      <xdr:col>4</xdr:col>
      <xdr:colOff>0</xdr:colOff>
      <xdr:row>23</xdr:row>
      <xdr:rowOff>3810</xdr:rowOff>
    </xdr:to>
    <xdr:graphicFrame macro="">
      <xdr:nvGraphicFramePr>
        <xdr:cNvPr id="2" name="Chart 1">
          <a:extLst>
            <a:ext uri="{FF2B5EF4-FFF2-40B4-BE49-F238E27FC236}">
              <a16:creationId xmlns:a16="http://schemas.microsoft.com/office/drawing/2014/main" id="{2A93BCED-6585-2228-643B-129B76445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10</xdr:row>
      <xdr:rowOff>171450</xdr:rowOff>
    </xdr:from>
    <xdr:to>
      <xdr:col>8</xdr:col>
      <xdr:colOff>731520</xdr:colOff>
      <xdr:row>25</xdr:row>
      <xdr:rowOff>171450</xdr:rowOff>
    </xdr:to>
    <xdr:graphicFrame macro="">
      <xdr:nvGraphicFramePr>
        <xdr:cNvPr id="3" name="Chart 2">
          <a:extLst>
            <a:ext uri="{FF2B5EF4-FFF2-40B4-BE49-F238E27FC236}">
              <a16:creationId xmlns:a16="http://schemas.microsoft.com/office/drawing/2014/main" id="{A83C10E9-94C7-3673-1E85-63D38879C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601980</xdr:colOff>
      <xdr:row>8</xdr:row>
      <xdr:rowOff>179070</xdr:rowOff>
    </xdr:from>
    <xdr:to>
      <xdr:col>14</xdr:col>
      <xdr:colOff>30480</xdr:colOff>
      <xdr:row>23</xdr:row>
      <xdr:rowOff>179070</xdr:rowOff>
    </xdr:to>
    <xdr:graphicFrame macro="">
      <xdr:nvGraphicFramePr>
        <xdr:cNvPr id="4" name="Chart 3">
          <a:extLst>
            <a:ext uri="{FF2B5EF4-FFF2-40B4-BE49-F238E27FC236}">
              <a16:creationId xmlns:a16="http://schemas.microsoft.com/office/drawing/2014/main" id="{EEF0F1EE-F7DC-77AF-8B5A-2FF957892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124460</xdr:colOff>
      <xdr:row>5</xdr:row>
      <xdr:rowOff>23707</xdr:rowOff>
    </xdr:from>
    <xdr:to>
      <xdr:col>8</xdr:col>
      <xdr:colOff>566420</xdr:colOff>
      <xdr:row>20</xdr:row>
      <xdr:rowOff>23707</xdr:rowOff>
    </xdr:to>
    <xdr:graphicFrame macro="">
      <xdr:nvGraphicFramePr>
        <xdr:cNvPr id="2" name="Chart 1">
          <a:extLst>
            <a:ext uri="{FF2B5EF4-FFF2-40B4-BE49-F238E27FC236}">
              <a16:creationId xmlns:a16="http://schemas.microsoft.com/office/drawing/2014/main" id="{1DD65254-717D-43B3-A948-FF822BC6A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135467</xdr:colOff>
      <xdr:row>20</xdr:row>
      <xdr:rowOff>64051</xdr:rowOff>
    </xdr:from>
    <xdr:to>
      <xdr:col>15</xdr:col>
      <xdr:colOff>16933</xdr:colOff>
      <xdr:row>33</xdr:row>
      <xdr:rowOff>154207</xdr:rowOff>
    </xdr:to>
    <xdr:graphicFrame macro="">
      <xdr:nvGraphicFramePr>
        <xdr:cNvPr id="3" name="Chart 2">
          <a:extLst>
            <a:ext uri="{FF2B5EF4-FFF2-40B4-BE49-F238E27FC236}">
              <a16:creationId xmlns:a16="http://schemas.microsoft.com/office/drawing/2014/main" id="{DA0D1193-632C-4C8A-81B0-ADA3FFE5A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46566</xdr:colOff>
      <xdr:row>5</xdr:row>
      <xdr:rowOff>23707</xdr:rowOff>
    </xdr:from>
    <xdr:to>
      <xdr:col>15</xdr:col>
      <xdr:colOff>8466</xdr:colOff>
      <xdr:row>20</xdr:row>
      <xdr:rowOff>23707</xdr:rowOff>
    </xdr:to>
    <xdr:graphicFrame macro="">
      <xdr:nvGraphicFramePr>
        <xdr:cNvPr id="4" name="Chart 3">
          <a:extLst>
            <a:ext uri="{FF2B5EF4-FFF2-40B4-BE49-F238E27FC236}">
              <a16:creationId xmlns:a16="http://schemas.microsoft.com/office/drawing/2014/main" id="{56C70ABC-E06B-4FC8-B8B6-E89D7C14B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59267</xdr:colOff>
      <xdr:row>5</xdr:row>
      <xdr:rowOff>23707</xdr:rowOff>
    </xdr:from>
    <xdr:to>
      <xdr:col>3</xdr:col>
      <xdr:colOff>59267</xdr:colOff>
      <xdr:row>9</xdr:row>
      <xdr:rowOff>148167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4D29D92-DC47-D1FB-9E70-EEDD964B0F4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9267" y="955040"/>
              <a:ext cx="1828800" cy="869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10</xdr:row>
      <xdr:rowOff>33019</xdr:rowOff>
    </xdr:from>
    <xdr:to>
      <xdr:col>3</xdr:col>
      <xdr:colOff>50800</xdr:colOff>
      <xdr:row>19</xdr:row>
      <xdr:rowOff>33866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EE2F37A-EF75-28FC-AE2B-8B18C8A6DB0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0800" y="1895686"/>
              <a:ext cx="1828800" cy="1677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19</xdr:row>
      <xdr:rowOff>64347</xdr:rowOff>
    </xdr:from>
    <xdr:to>
      <xdr:col>3</xdr:col>
      <xdr:colOff>50800</xdr:colOff>
      <xdr:row>25</xdr:row>
      <xdr:rowOff>101601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4C71BCB-D813-CDDF-966A-5AEC61CBDF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800" y="3603414"/>
              <a:ext cx="1828800" cy="1154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dh Fulkar" refreshedDate="45890.451968634261" createdVersion="8" refreshedVersion="8" minRefreshableVersion="3" recordCount="1000" xr:uid="{A884D2E0-B4F7-4647-9E54-84CF8B94BAC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238411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817172-5BB6-40D8-A009-FECA7AD6768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N8"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0AA0CD-6A8F-49C5-8FB2-1D8618CA1D28}"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I10"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437089-A5F9-4FA5-8091-91BB636B9E11}"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EFE039E-CD7E-4A9F-B3F6-7102974F0912}" sourceName="Marital Status">
  <pivotTables>
    <pivotTable tabId="3" name="PivotTable2"/>
    <pivotTable tabId="3" name="PivotTable3"/>
    <pivotTable tabId="3" name="PivotTable4"/>
  </pivotTables>
  <data>
    <tabular pivotCacheId="7238411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82ABA8A-C923-43B7-B6D9-338F893B00BF}" sourceName="Education">
  <pivotTables>
    <pivotTable tabId="3" name="PivotTable2"/>
    <pivotTable tabId="3" name="PivotTable3"/>
    <pivotTable tabId="3" name="PivotTable4"/>
  </pivotTables>
  <data>
    <tabular pivotCacheId="72384118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800114-66A8-40B6-B8B8-816F9C81D158}" sourceName="Region">
  <pivotTables>
    <pivotTable tabId="3" name="PivotTable2"/>
    <pivotTable tabId="3" name="PivotTable3"/>
    <pivotTable tabId="3" name="PivotTable4"/>
  </pivotTables>
  <data>
    <tabular pivotCacheId="7238411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3F26F32-9A99-4093-82D5-3A7EFCF21532}" cache="Slicer_Marital_Status" caption="Marital Status" rowHeight="234950"/>
  <slicer name="Education" xr10:uid="{76881490-2A9C-4CBB-B891-41F1CE05B16B}" cache="Slicer_Education" caption="Education" rowHeight="234950"/>
  <slicer name="Region" xr10:uid="{4BDB070F-6270-4F99-BA57-8C9A89DEEEF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D2" sqref="D2:D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70A9-56D9-4E81-8EBA-F4AC2EE61F27}">
  <dimension ref="A1:N1001"/>
  <sheetViews>
    <sheetView topLeftCell="C975" workbookViewId="0">
      <selection activeCell="J975" sqref="J1:J1048576"/>
    </sheetView>
  </sheetViews>
  <sheetFormatPr defaultRowHeight="14.4" x14ac:dyDescent="0.3"/>
  <cols>
    <col min="1" max="1" width="6" bestFit="1" customWidth="1"/>
    <col min="2" max="2" width="14.5546875" bestFit="1" customWidth="1"/>
    <col min="3" max="3" width="9.109375" bestFit="1" customWidth="1"/>
    <col min="4" max="4" width="11.88671875" style="4"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39</v>
      </c>
      <c r="D2" s="7">
        <v>40000</v>
      </c>
      <c r="E2">
        <v>1</v>
      </c>
      <c r="F2" t="s">
        <v>13</v>
      </c>
      <c r="G2" t="s">
        <v>14</v>
      </c>
      <c r="H2" t="s">
        <v>15</v>
      </c>
      <c r="I2">
        <v>0</v>
      </c>
      <c r="J2" t="s">
        <v>16</v>
      </c>
      <c r="K2" t="s">
        <v>17</v>
      </c>
      <c r="L2">
        <v>42</v>
      </c>
      <c r="M2" t="str">
        <f>IF(L2&gt;54,"Old",IF(L2&gt;=31,"Middle Aged",IF(L2&lt;31,"Adolescent","invalid")))</f>
        <v>Middle Aged</v>
      </c>
      <c r="N2" t="s">
        <v>18</v>
      </c>
    </row>
    <row r="3" spans="1:14" x14ac:dyDescent="0.3">
      <c r="A3">
        <v>24107</v>
      </c>
      <c r="B3" t="s">
        <v>36</v>
      </c>
      <c r="C3" t="s">
        <v>38</v>
      </c>
      <c r="D3" s="7">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
      <c r="A4">
        <v>14177</v>
      </c>
      <c r="B4" t="s">
        <v>36</v>
      </c>
      <c r="C4" t="s">
        <v>38</v>
      </c>
      <c r="D4" s="7">
        <v>80000</v>
      </c>
      <c r="E4">
        <v>5</v>
      </c>
      <c r="F4" t="s">
        <v>19</v>
      </c>
      <c r="G4" t="s">
        <v>21</v>
      </c>
      <c r="H4" t="s">
        <v>18</v>
      </c>
      <c r="I4">
        <v>2</v>
      </c>
      <c r="J4" t="s">
        <v>22</v>
      </c>
      <c r="K4" t="s">
        <v>17</v>
      </c>
      <c r="L4">
        <v>60</v>
      </c>
      <c r="M4" t="str">
        <f t="shared" si="0"/>
        <v>Old</v>
      </c>
      <c r="N4" t="s">
        <v>18</v>
      </c>
    </row>
    <row r="5" spans="1:14" x14ac:dyDescent="0.3">
      <c r="A5">
        <v>24381</v>
      </c>
      <c r="B5" t="s">
        <v>37</v>
      </c>
      <c r="C5" t="s">
        <v>38</v>
      </c>
      <c r="D5" s="7">
        <v>70000</v>
      </c>
      <c r="E5">
        <v>0</v>
      </c>
      <c r="F5" t="s">
        <v>13</v>
      </c>
      <c r="G5" t="s">
        <v>21</v>
      </c>
      <c r="H5" t="s">
        <v>15</v>
      </c>
      <c r="I5">
        <v>1</v>
      </c>
      <c r="J5" t="s">
        <v>23</v>
      </c>
      <c r="K5" t="s">
        <v>24</v>
      </c>
      <c r="L5">
        <v>41</v>
      </c>
      <c r="M5" t="str">
        <f t="shared" si="0"/>
        <v>Middle Aged</v>
      </c>
      <c r="N5" t="s">
        <v>15</v>
      </c>
    </row>
    <row r="6" spans="1:14" x14ac:dyDescent="0.3">
      <c r="A6">
        <v>25597</v>
      </c>
      <c r="B6" t="s">
        <v>37</v>
      </c>
      <c r="C6" t="s">
        <v>38</v>
      </c>
      <c r="D6" s="7">
        <v>30000</v>
      </c>
      <c r="E6">
        <v>0</v>
      </c>
      <c r="F6" t="s">
        <v>13</v>
      </c>
      <c r="G6" t="s">
        <v>20</v>
      </c>
      <c r="H6" t="s">
        <v>18</v>
      </c>
      <c r="I6">
        <v>0</v>
      </c>
      <c r="J6" t="s">
        <v>16</v>
      </c>
      <c r="K6" t="s">
        <v>17</v>
      </c>
      <c r="L6">
        <v>36</v>
      </c>
      <c r="M6" t="str">
        <f t="shared" si="0"/>
        <v>Middle Aged</v>
      </c>
      <c r="N6" t="s">
        <v>15</v>
      </c>
    </row>
    <row r="7" spans="1:14" x14ac:dyDescent="0.3">
      <c r="A7">
        <v>13507</v>
      </c>
      <c r="B7" t="s">
        <v>36</v>
      </c>
      <c r="C7" t="s">
        <v>39</v>
      </c>
      <c r="D7" s="7">
        <v>10000</v>
      </c>
      <c r="E7">
        <v>2</v>
      </c>
      <c r="F7" t="s">
        <v>19</v>
      </c>
      <c r="G7" t="s">
        <v>25</v>
      </c>
      <c r="H7" t="s">
        <v>15</v>
      </c>
      <c r="I7">
        <v>0</v>
      </c>
      <c r="J7" t="s">
        <v>26</v>
      </c>
      <c r="K7" t="s">
        <v>17</v>
      </c>
      <c r="L7">
        <v>50</v>
      </c>
      <c r="M7" t="str">
        <f t="shared" si="0"/>
        <v>Middle Aged</v>
      </c>
      <c r="N7" t="s">
        <v>18</v>
      </c>
    </row>
    <row r="8" spans="1:14" x14ac:dyDescent="0.3">
      <c r="A8">
        <v>27974</v>
      </c>
      <c r="B8" t="s">
        <v>37</v>
      </c>
      <c r="C8" t="s">
        <v>38</v>
      </c>
      <c r="D8" s="7">
        <v>160000</v>
      </c>
      <c r="E8">
        <v>2</v>
      </c>
      <c r="F8" t="s">
        <v>27</v>
      </c>
      <c r="G8" t="s">
        <v>28</v>
      </c>
      <c r="H8" t="s">
        <v>15</v>
      </c>
      <c r="I8">
        <v>4</v>
      </c>
      <c r="J8" t="s">
        <v>16</v>
      </c>
      <c r="K8" t="s">
        <v>24</v>
      </c>
      <c r="L8">
        <v>33</v>
      </c>
      <c r="M8" t="str">
        <f t="shared" si="0"/>
        <v>Middle Aged</v>
      </c>
      <c r="N8" t="s">
        <v>15</v>
      </c>
    </row>
    <row r="9" spans="1:14" x14ac:dyDescent="0.3">
      <c r="A9">
        <v>19364</v>
      </c>
      <c r="B9" t="s">
        <v>36</v>
      </c>
      <c r="C9" t="s">
        <v>38</v>
      </c>
      <c r="D9" s="7">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7">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7">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7">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7">
        <v>90000</v>
      </c>
      <c r="E13">
        <v>0</v>
      </c>
      <c r="F13" t="s">
        <v>13</v>
      </c>
      <c r="G13" t="s">
        <v>21</v>
      </c>
      <c r="H13" t="s">
        <v>18</v>
      </c>
      <c r="I13">
        <v>4</v>
      </c>
      <c r="J13" t="s">
        <v>46</v>
      </c>
      <c r="K13" t="s">
        <v>24</v>
      </c>
      <c r="L13">
        <v>36</v>
      </c>
      <c r="M13" t="str">
        <f t="shared" si="0"/>
        <v>Middle Aged</v>
      </c>
      <c r="N13" t="s">
        <v>18</v>
      </c>
    </row>
    <row r="14" spans="1:14" x14ac:dyDescent="0.3">
      <c r="A14">
        <v>11434</v>
      </c>
      <c r="B14" t="s">
        <v>36</v>
      </c>
      <c r="C14" t="s">
        <v>38</v>
      </c>
      <c r="D14" s="7">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7">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7">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7">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7">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7">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7">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7">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7">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7">
        <v>80000</v>
      </c>
      <c r="E23">
        <v>0</v>
      </c>
      <c r="F23" t="s">
        <v>13</v>
      </c>
      <c r="G23" t="s">
        <v>21</v>
      </c>
      <c r="H23" t="s">
        <v>15</v>
      </c>
      <c r="I23">
        <v>4</v>
      </c>
      <c r="J23" t="s">
        <v>46</v>
      </c>
      <c r="K23" t="s">
        <v>24</v>
      </c>
      <c r="L23">
        <v>35</v>
      </c>
      <c r="M23" t="str">
        <f t="shared" si="0"/>
        <v>Middle Aged</v>
      </c>
      <c r="N23" t="s">
        <v>18</v>
      </c>
    </row>
    <row r="24" spans="1:14" x14ac:dyDescent="0.3">
      <c r="A24">
        <v>19193</v>
      </c>
      <c r="B24" t="s">
        <v>37</v>
      </c>
      <c r="C24" t="s">
        <v>38</v>
      </c>
      <c r="D24" s="7">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7">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7">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7">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7">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7">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7">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7">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7">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7">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7">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7">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7">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7">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7">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7">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7">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7">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7">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7">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7">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7">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7">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7">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7">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7">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7">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7">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7">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7">
        <v>80000</v>
      </c>
      <c r="E53">
        <v>0</v>
      </c>
      <c r="F53" t="s">
        <v>13</v>
      </c>
      <c r="G53" t="s">
        <v>21</v>
      </c>
      <c r="H53" t="s">
        <v>18</v>
      </c>
      <c r="I53">
        <v>4</v>
      </c>
      <c r="J53" t="s">
        <v>46</v>
      </c>
      <c r="K53" t="s">
        <v>24</v>
      </c>
      <c r="L53">
        <v>35</v>
      </c>
      <c r="M53" t="str">
        <f t="shared" si="0"/>
        <v>Middle Aged</v>
      </c>
      <c r="N53" t="s">
        <v>18</v>
      </c>
    </row>
    <row r="54" spans="1:14" x14ac:dyDescent="0.3">
      <c r="A54">
        <v>12558</v>
      </c>
      <c r="B54" t="s">
        <v>36</v>
      </c>
      <c r="C54" t="s">
        <v>39</v>
      </c>
      <c r="D54" s="7">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7">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7">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7">
        <v>80000</v>
      </c>
      <c r="E57">
        <v>4</v>
      </c>
      <c r="F57" t="s">
        <v>27</v>
      </c>
      <c r="G57" t="s">
        <v>21</v>
      </c>
      <c r="H57" t="s">
        <v>15</v>
      </c>
      <c r="I57">
        <v>2</v>
      </c>
      <c r="J57" t="s">
        <v>46</v>
      </c>
      <c r="K57" t="s">
        <v>17</v>
      </c>
      <c r="L57">
        <v>54</v>
      </c>
      <c r="M57" t="str">
        <f t="shared" si="0"/>
        <v>Middle Aged</v>
      </c>
      <c r="N57" t="s">
        <v>18</v>
      </c>
    </row>
    <row r="58" spans="1:14" x14ac:dyDescent="0.3">
      <c r="A58">
        <v>12808</v>
      </c>
      <c r="B58" t="s">
        <v>36</v>
      </c>
      <c r="C58" t="s">
        <v>38</v>
      </c>
      <c r="D58" s="7">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7">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7">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7">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7">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7">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7">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7">
        <v>60000</v>
      </c>
      <c r="E65">
        <v>4</v>
      </c>
      <c r="F65" t="s">
        <v>13</v>
      </c>
      <c r="G65" t="s">
        <v>21</v>
      </c>
      <c r="H65" t="s">
        <v>15</v>
      </c>
      <c r="I65">
        <v>3</v>
      </c>
      <c r="J65" t="s">
        <v>46</v>
      </c>
      <c r="K65" t="s">
        <v>24</v>
      </c>
      <c r="L65">
        <v>41</v>
      </c>
      <c r="M65" t="str">
        <f t="shared" si="0"/>
        <v>Middle Aged</v>
      </c>
      <c r="N65" t="s">
        <v>18</v>
      </c>
    </row>
    <row r="66" spans="1:14" x14ac:dyDescent="0.3">
      <c r="A66">
        <v>14927</v>
      </c>
      <c r="B66" t="s">
        <v>36</v>
      </c>
      <c r="C66" t="s">
        <v>39</v>
      </c>
      <c r="D66" s="7">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7">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
      <c r="A68">
        <v>29355</v>
      </c>
      <c r="B68" t="s">
        <v>36</v>
      </c>
      <c r="C68" t="s">
        <v>39</v>
      </c>
      <c r="D68" s="7">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7">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7">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7">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7">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39</v>
      </c>
      <c r="D73" s="7">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7">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7">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7">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7">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7">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7">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7">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7">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7">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7">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7">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7">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7">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7">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7">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7">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7">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7">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7">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7">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7">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7">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7">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7">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7">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7">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7">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7">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7">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7">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7">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7">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7">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7">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7">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7">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7">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7">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7">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7">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7">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7">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7">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7">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7">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7">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7">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7">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7">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7">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7">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39</v>
      </c>
      <c r="D125" s="7">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7">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7">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7">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7">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7">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7">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
      <c r="A132">
        <v>12993</v>
      </c>
      <c r="B132" t="s">
        <v>36</v>
      </c>
      <c r="C132" t="s">
        <v>38</v>
      </c>
      <c r="D132" s="7">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7">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7">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7">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7">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7">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7">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7">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7">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7">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7">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7">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7">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7">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38</v>
      </c>
      <c r="D146" s="7">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7">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7">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7">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7">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7">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7">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7">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7">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7">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7">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7">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7">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7">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7">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7">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7">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7">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7">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7">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7">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7">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7">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7">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38</v>
      </c>
      <c r="D170" s="7">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7">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7">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7">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7">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7">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7">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7">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7">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7">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7">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7">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7">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7">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7">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7">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7">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7">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7">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7">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7">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38</v>
      </c>
      <c r="D191" s="7">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7">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7">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7">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7">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3">
      <c r="A196">
        <v>17843</v>
      </c>
      <c r="B196" t="s">
        <v>37</v>
      </c>
      <c r="C196" t="s">
        <v>39</v>
      </c>
      <c r="D196" s="7">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7">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7">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7">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7">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7">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38</v>
      </c>
      <c r="D202" s="7">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7">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7">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7">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7">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7">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7">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7">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7">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7">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7">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7">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7">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7">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38</v>
      </c>
      <c r="D216" s="7">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7">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7">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7">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7">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7">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7">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7">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7">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7">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39</v>
      </c>
      <c r="D226" s="7">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7">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7">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7">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7">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7">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7">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7">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7">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7">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7">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39</v>
      </c>
      <c r="D237" s="7">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7">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7">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7">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7">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7">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7">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7">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7">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7">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38</v>
      </c>
      <c r="D247" s="7">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7">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7">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39</v>
      </c>
      <c r="D250" s="7">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7">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7">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7">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7">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7">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7">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7">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7">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7">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3">
      <c r="A260">
        <v>14193</v>
      </c>
      <c r="B260" t="s">
        <v>37</v>
      </c>
      <c r="C260" t="s">
        <v>39</v>
      </c>
      <c r="D260" s="7">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7">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7">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7">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7">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7">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38</v>
      </c>
      <c r="D266" s="7">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7">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7">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7">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7">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7">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7">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7">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7">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7">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7">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7">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7">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7">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7">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38</v>
      </c>
      <c r="D281" s="7">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7">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7">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7">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7">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7">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7">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7">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7">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7">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7">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7">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7">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7">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7">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7">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7">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39</v>
      </c>
      <c r="D298" s="7">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7">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7">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7">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7">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7">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7">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7">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7">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7">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7">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7">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7">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7">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7">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7">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7">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7">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7">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7">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7">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7">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7">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39</v>
      </c>
      <c r="D321" s="7">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7">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7">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3">
      <c r="A324">
        <v>16410</v>
      </c>
      <c r="B324" t="s">
        <v>37</v>
      </c>
      <c r="C324" t="s">
        <v>39</v>
      </c>
      <c r="D324" s="7">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7">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7">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7">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7">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7">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7">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7">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7">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38</v>
      </c>
      <c r="D333" s="7">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7">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7">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7">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7">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7">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7">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7">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7">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7">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7">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7">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7">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7">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7">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7">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7">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7">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7">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7">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7">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7">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7">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7">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7">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39</v>
      </c>
      <c r="D358" s="7">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7">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7">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7">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7">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7">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7">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7">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7">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7">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7">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7">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7">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7">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7">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38</v>
      </c>
      <c r="D373" s="7">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7">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7">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7">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7">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7">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7">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7">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7">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7">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7">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7">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38</v>
      </c>
      <c r="D385" s="7">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7">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7">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
      <c r="A388">
        <v>28957</v>
      </c>
      <c r="B388" t="s">
        <v>37</v>
      </c>
      <c r="C388" t="s">
        <v>39</v>
      </c>
      <c r="D388" s="7">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39</v>
      </c>
      <c r="D389" s="7">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7">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7">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7">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7">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7">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7">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7">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7">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7">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7">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7">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7">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7">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39</v>
      </c>
      <c r="D403" s="7">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7">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7">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7">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7">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7">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7">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7">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7">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7">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7">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7">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7">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7">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7">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7">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7">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7">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7">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7">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7">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7">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38</v>
      </c>
      <c r="D425" s="7">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7">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7">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7">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7">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7">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7">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7">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7">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7">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39</v>
      </c>
      <c r="D435" s="7">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7">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7">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7">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7">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7">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7">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7">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38</v>
      </c>
      <c r="D443" s="7">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7">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7">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7">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7">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7">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39</v>
      </c>
      <c r="D449" s="7">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7">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7">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
      <c r="A452">
        <v>16559</v>
      </c>
      <c r="B452" t="s">
        <v>37</v>
      </c>
      <c r="C452" t="s">
        <v>39</v>
      </c>
      <c r="D452" s="7">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7">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7">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7">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7">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7">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7">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7">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7">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39</v>
      </c>
      <c r="D461" s="7">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38</v>
      </c>
      <c r="D462" s="7">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7">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7">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7">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7">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7">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7">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7">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7">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7">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7">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7">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7">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7">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7">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7">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7">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7">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7">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7">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7">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7">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7">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7">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7">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7">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7">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7">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7">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7">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7">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7">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7">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7">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7">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7">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7">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7">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7">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7">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7">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7">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7">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7">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7">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7">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7">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7">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7">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7">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7">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7">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7">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7">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3">
      <c r="A516">
        <v>19399</v>
      </c>
      <c r="B516" t="s">
        <v>37</v>
      </c>
      <c r="C516" t="s">
        <v>38</v>
      </c>
      <c r="D516" s="7">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7">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7">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7">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7">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7">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7">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7">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7">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7">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7">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7">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7">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7">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7">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7">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7">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7">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7">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7">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7">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7">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39</v>
      </c>
      <c r="D538" s="7">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7">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7">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7">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7">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7">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7">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7">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7">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7">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7">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7">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7">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7">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7">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7">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7">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38</v>
      </c>
      <c r="D555" s="7">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7">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7">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7">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7">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7">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7">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7">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7">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7">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7">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7">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7">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7">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7">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7">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7">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7">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7">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7">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7">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7">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7">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7">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7">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3">
      <c r="A580">
        <v>15313</v>
      </c>
      <c r="B580" t="s">
        <v>36</v>
      </c>
      <c r="C580" t="s">
        <v>38</v>
      </c>
      <c r="D580" s="7">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7">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7">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7">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7">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7">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7">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7">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7">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7">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7">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38</v>
      </c>
      <c r="D591" s="7">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7">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7">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7">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7">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7">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7">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7">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7">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7">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7">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7">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7">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7">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7">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7">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7">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7">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7">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38</v>
      </c>
      <c r="D610" s="7">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7">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7">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7">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7">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7">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7">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7">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7">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7">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7">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7">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7">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7">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7">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7">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7">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7">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7">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7">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7">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7">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7">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7">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7">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7">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7">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7">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7">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7">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7">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7">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7">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7">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3">
      <c r="A644">
        <v>21741</v>
      </c>
      <c r="B644" t="s">
        <v>36</v>
      </c>
      <c r="C644" t="s">
        <v>39</v>
      </c>
      <c r="D644" s="7">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7">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7">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39</v>
      </c>
      <c r="D647" s="7">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7">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7">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7">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7">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7">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7">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7">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7">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7">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7">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7">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7">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7">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7">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7">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7">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7">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7">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7">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7">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7">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7">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7">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7">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7">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7">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7">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7">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7">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7">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7">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7">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7">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7">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7">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7">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7">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7">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7">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7">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7">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7">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7">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7">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7">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7">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7">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7">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7">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7">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7">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7">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7">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7">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7">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7">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7">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7">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7">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7">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3">
      <c r="A708">
        <v>20296</v>
      </c>
      <c r="B708" t="s">
        <v>37</v>
      </c>
      <c r="C708" t="s">
        <v>39</v>
      </c>
      <c r="D708" s="7">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7">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7">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7">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7">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7">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7">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7">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7">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7">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7">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7">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7">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7">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7">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7">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7">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7">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7">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7">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7">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7">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7">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7">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7">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7">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7">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7">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7">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7">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7">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7">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7">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7">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7">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7">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7">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7">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7">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7">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7">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7">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7">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7">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7">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7">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7">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7">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7">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7">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7">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7">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7">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7">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7">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7">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7">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7">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7">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7">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7">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39</v>
      </c>
      <c r="D769" s="7">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7">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7">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3">
      <c r="A772">
        <v>17699</v>
      </c>
      <c r="B772" t="s">
        <v>36</v>
      </c>
      <c r="C772" t="s">
        <v>38</v>
      </c>
      <c r="D772" s="7">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7">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7">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7">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7">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7">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38</v>
      </c>
      <c r="D778" s="7">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7">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7">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7">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7">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7">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7">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7">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7">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7">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7">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7">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7">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7">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7">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7">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7">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7">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7">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7">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7">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7">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7">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7">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7">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7">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7">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7">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7">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7">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7">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7">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7">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7">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7">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7">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7">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7">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39</v>
      </c>
      <c r="D816" s="7">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7">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7">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7">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7">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7">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7">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7">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7">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7">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7">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7">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7">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7">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7">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7">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7">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7">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7">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7">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3">
      <c r="A836">
        <v>19889</v>
      </c>
      <c r="B836" t="s">
        <v>37</v>
      </c>
      <c r="C836" t="s">
        <v>39</v>
      </c>
      <c r="D836" s="7">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7">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7">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7">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7">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7">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7">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38</v>
      </c>
      <c r="D843" s="7">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7">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7">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7">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7">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7">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7">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7">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7">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7">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7">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7">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7">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7">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7">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7">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7">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7">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7">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7">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7">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7">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7">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7">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7">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7">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7">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7">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7">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7">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7">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7">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7">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7">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7">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7">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7">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7">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7">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7">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7">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7">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7">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7">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7">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7">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7">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7">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7">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7">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7">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7">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7">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7">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7">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7">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7">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3">
      <c r="A900">
        <v>18066</v>
      </c>
      <c r="B900" t="s">
        <v>37</v>
      </c>
      <c r="C900" t="s">
        <v>38</v>
      </c>
      <c r="D900" s="7">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7">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38</v>
      </c>
      <c r="D902" s="7">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7">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7">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7">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7">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7">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7">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7">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7">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7">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7">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7">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7">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7">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7">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7">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7">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7">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7">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7">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7">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7">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7">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7">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7">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7">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7">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7">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7">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7">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7">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39</v>
      </c>
      <c r="D933" s="7">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7">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7">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7">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7">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7">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7">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7">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7">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7">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7">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7">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7">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7">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7">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7">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7">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7">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7">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39</v>
      </c>
      <c r="D952" s="7">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7">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7">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7">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7">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7">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7">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7">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7">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7">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7">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7">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3">
      <c r="A964">
        <v>16813</v>
      </c>
      <c r="B964" t="s">
        <v>36</v>
      </c>
      <c r="C964" t="s">
        <v>38</v>
      </c>
      <c r="D964" s="7">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7">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7">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7">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7">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7">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7">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7">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7">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7">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7">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7">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7">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7">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7">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7">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7">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7">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7">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38</v>
      </c>
      <c r="D983" s="7">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7">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7">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7">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7">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7">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7">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7">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7">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39</v>
      </c>
      <c r="D992" s="7">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7">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7">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7">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7">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7">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7">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7">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7">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7">
        <v>60000</v>
      </c>
      <c r="E1001">
        <v>3</v>
      </c>
      <c r="F1001" t="s">
        <v>27</v>
      </c>
      <c r="G1001" t="s">
        <v>21</v>
      </c>
      <c r="H1001" t="s">
        <v>15</v>
      </c>
      <c r="I1001">
        <v>2</v>
      </c>
      <c r="J1001" t="s">
        <v>46</v>
      </c>
      <c r="K1001" t="s">
        <v>32</v>
      </c>
      <c r="L1001">
        <v>53</v>
      </c>
      <c r="M1001" t="str">
        <f t="shared" si="15"/>
        <v>Middle Aged</v>
      </c>
      <c r="N1001" t="s">
        <v>15</v>
      </c>
    </row>
  </sheetData>
  <autoFilter ref="A1:N1001" xr:uid="{249570A9-56D9-4E81-8EBA-F4AC2EE61F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A5D7F-8DB9-45A4-8307-6C9E1492AD74}">
  <dimension ref="A3:N10"/>
  <sheetViews>
    <sheetView workbookViewId="0">
      <selection activeCell="P13" sqref="P13"/>
    </sheetView>
  </sheetViews>
  <sheetFormatPr defaultRowHeight="14.4" x14ac:dyDescent="0.3"/>
  <cols>
    <col min="1" max="1" width="17" bestFit="1" customWidth="1"/>
    <col min="2" max="2" width="15.5546875" bestFit="1" customWidth="1"/>
    <col min="3" max="3" width="7.5546875" bestFit="1" customWidth="1"/>
    <col min="4" max="4" width="10.77734375" bestFit="1" customWidth="1"/>
    <col min="6" max="6" width="21.88671875" bestFit="1" customWidth="1"/>
    <col min="7" max="7" width="15.5546875" bestFit="1" customWidth="1"/>
    <col min="8" max="8" width="4" bestFit="1" customWidth="1"/>
    <col min="9" max="9" width="10.77734375" bestFit="1" customWidth="1"/>
    <col min="11" max="11" width="21.88671875" bestFit="1" customWidth="1"/>
    <col min="12" max="12" width="15.5546875" bestFit="1" customWidth="1"/>
    <col min="13" max="13" width="4" bestFit="1" customWidth="1"/>
    <col min="14" max="14" width="10.77734375" bestFit="1" customWidth="1"/>
  </cols>
  <sheetData>
    <row r="3" spans="1:14" x14ac:dyDescent="0.3">
      <c r="A3" s="5" t="s">
        <v>43</v>
      </c>
      <c r="B3" s="5" t="s">
        <v>44</v>
      </c>
      <c r="F3" s="5" t="s">
        <v>45</v>
      </c>
      <c r="G3" s="5" t="s">
        <v>44</v>
      </c>
      <c r="K3" s="5" t="s">
        <v>45</v>
      </c>
      <c r="L3" s="5" t="s">
        <v>44</v>
      </c>
    </row>
    <row r="4" spans="1:14" x14ac:dyDescent="0.3">
      <c r="A4" s="5" t="s">
        <v>41</v>
      </c>
      <c r="B4" t="s">
        <v>18</v>
      </c>
      <c r="C4" t="s">
        <v>15</v>
      </c>
      <c r="D4" t="s">
        <v>42</v>
      </c>
      <c r="F4" s="5" t="s">
        <v>41</v>
      </c>
      <c r="G4" t="s">
        <v>18</v>
      </c>
      <c r="H4" t="s">
        <v>15</v>
      </c>
      <c r="I4" t="s">
        <v>42</v>
      </c>
      <c r="K4" s="5" t="s">
        <v>41</v>
      </c>
      <c r="L4" t="s">
        <v>18</v>
      </c>
      <c r="M4" t="s">
        <v>15</v>
      </c>
      <c r="N4" t="s">
        <v>42</v>
      </c>
    </row>
    <row r="5" spans="1:14" x14ac:dyDescent="0.3">
      <c r="A5" s="6" t="s">
        <v>39</v>
      </c>
      <c r="B5" s="7">
        <v>53440</v>
      </c>
      <c r="C5" s="7">
        <v>55774.058577405856</v>
      </c>
      <c r="D5" s="7">
        <v>54580.777096114522</v>
      </c>
      <c r="F5" s="6" t="s">
        <v>16</v>
      </c>
      <c r="G5" s="3">
        <v>166</v>
      </c>
      <c r="H5" s="3">
        <v>200</v>
      </c>
      <c r="I5" s="3">
        <v>366</v>
      </c>
      <c r="K5" s="6" t="s">
        <v>47</v>
      </c>
      <c r="L5" s="3">
        <v>71</v>
      </c>
      <c r="M5" s="3">
        <v>39</v>
      </c>
      <c r="N5" s="3">
        <v>110</v>
      </c>
    </row>
    <row r="6" spans="1:14" x14ac:dyDescent="0.3">
      <c r="A6" s="6" t="s">
        <v>38</v>
      </c>
      <c r="B6" s="7">
        <v>56208.178438661707</v>
      </c>
      <c r="C6" s="7">
        <v>60123.966942148763</v>
      </c>
      <c r="D6" s="7">
        <v>58062.62230919765</v>
      </c>
      <c r="F6" s="6" t="s">
        <v>26</v>
      </c>
      <c r="G6" s="3">
        <v>92</v>
      </c>
      <c r="H6" s="3">
        <v>77</v>
      </c>
      <c r="I6" s="3">
        <v>169</v>
      </c>
      <c r="K6" s="6" t="s">
        <v>48</v>
      </c>
      <c r="L6" s="3">
        <v>318</v>
      </c>
      <c r="M6" s="3">
        <v>383</v>
      </c>
      <c r="N6" s="3">
        <v>701</v>
      </c>
    </row>
    <row r="7" spans="1:14" x14ac:dyDescent="0.3">
      <c r="A7" s="6" t="s">
        <v>42</v>
      </c>
      <c r="B7" s="7">
        <v>54874.759152215796</v>
      </c>
      <c r="C7" s="7">
        <v>57962.577962577961</v>
      </c>
      <c r="D7" s="7">
        <v>56360</v>
      </c>
      <c r="F7" s="6" t="s">
        <v>22</v>
      </c>
      <c r="G7" s="3">
        <v>67</v>
      </c>
      <c r="H7" s="3">
        <v>95</v>
      </c>
      <c r="I7" s="3">
        <v>162</v>
      </c>
      <c r="K7" s="6" t="s">
        <v>49</v>
      </c>
      <c r="L7" s="3">
        <v>130</v>
      </c>
      <c r="M7" s="3">
        <v>59</v>
      </c>
      <c r="N7" s="3">
        <v>189</v>
      </c>
    </row>
    <row r="8" spans="1:14" x14ac:dyDescent="0.3">
      <c r="F8" s="6" t="s">
        <v>23</v>
      </c>
      <c r="G8" s="3">
        <v>116</v>
      </c>
      <c r="H8" s="3">
        <v>76</v>
      </c>
      <c r="I8" s="3">
        <v>192</v>
      </c>
      <c r="K8" s="6" t="s">
        <v>42</v>
      </c>
      <c r="L8" s="3">
        <v>519</v>
      </c>
      <c r="M8" s="3">
        <v>481</v>
      </c>
      <c r="N8" s="3">
        <v>1000</v>
      </c>
    </row>
    <row r="9" spans="1:14" x14ac:dyDescent="0.3">
      <c r="F9" s="6" t="s">
        <v>46</v>
      </c>
      <c r="G9" s="3">
        <v>78</v>
      </c>
      <c r="H9" s="3">
        <v>33</v>
      </c>
      <c r="I9" s="3">
        <v>111</v>
      </c>
    </row>
    <row r="10" spans="1:14" x14ac:dyDescent="0.3">
      <c r="F10" s="6" t="s">
        <v>42</v>
      </c>
      <c r="G10" s="3">
        <v>519</v>
      </c>
      <c r="H10" s="3">
        <v>481</v>
      </c>
      <c r="I10"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CEDE-CB7B-4CBC-B597-33E09E76155D}">
  <dimension ref="A1:O5"/>
  <sheetViews>
    <sheetView showGridLines="0" tabSelected="1" zoomScale="90" zoomScaleNormal="90" workbookViewId="0">
      <selection activeCell="R7" sqref="R7"/>
    </sheetView>
  </sheetViews>
  <sheetFormatPr defaultRowHeight="14.4" x14ac:dyDescent="0.3"/>
  <sheetData>
    <row r="1" spans="1:15" ht="14.4" customHeight="1" x14ac:dyDescent="0.3">
      <c r="A1" s="8"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Sumedh Fulkar</cp:lastModifiedBy>
  <dcterms:created xsi:type="dcterms:W3CDTF">2022-03-18T02:50:57Z</dcterms:created>
  <dcterms:modified xsi:type="dcterms:W3CDTF">2025-08-21T05:45:18Z</dcterms:modified>
</cp:coreProperties>
</file>